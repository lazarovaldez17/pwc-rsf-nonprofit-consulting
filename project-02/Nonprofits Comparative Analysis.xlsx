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RSF Dashboard" sheetId="2" r:id="rId6"/>
  </sheets>
  <definedNames/>
  <calcPr/>
</workbook>
</file>

<file path=xl/sharedStrings.xml><?xml version="1.0" encoding="utf-8"?>
<sst xmlns="http://schemas.openxmlformats.org/spreadsheetml/2006/main" count="53" uniqueCount="45">
  <si>
    <t>Category</t>
  </si>
  <si>
    <t>Boys and Girls Club of Santa Cruz</t>
  </si>
  <si>
    <t>First Tee of Los Angeles</t>
  </si>
  <si>
    <t>ACCESS U Foundation</t>
  </si>
  <si>
    <t>Link to the website</t>
  </si>
  <si>
    <t>https://boysandgirlsclub.info/</t>
  </si>
  <si>
    <t>https://firstteelosangeles.org/</t>
  </si>
  <si>
    <t>https://www.accessufoundation.org/</t>
  </si>
  <si>
    <t>.</t>
  </si>
  <si>
    <t>Why did you shortlist this organization for your comparative analysis</t>
  </si>
  <si>
    <t xml:space="preserve">Boys and Girls Club of Santa Cruz County (BGCSCC) is a large nonprofit with a much broader national organization focused on providing academic and athletic resources to youth (Kindergarten - 12th grade). I shortlisted this organization for my comparative analysis because BGCSSC is popular for their various programs, guided mentorship, and afterschool care. Although BGSCC is not directly comparable to RSF, their mission and goals are very similar: to provide resources to underserved youth for leadership development, academic guidance, and athletics. Both organizations also rely on corporate partners and grants. </t>
  </si>
  <si>
    <t>First Tee of Los Angeles is directly comparable to RSF since they lead with athletics, leadership &amp; character development, and confidence-building in youth. Operating in the LA area, First Tee of Los Angeles teach youth to overcome challenges from a young age through golfing activities and receives funding through grants, communities, earned revenue, gifts, and membership fees.</t>
  </si>
  <si>
    <t>Operating in San Francisco (SF), the ACCESS U Foundation is not directly comparable with RSF but leads with soccer programs designed to help underserved Black and Latino student-athletes get noticed and recruited, and guidance through the college recruitment process. ACCESS U Foundation relies on corporate and community partners, a tiered system designed to support-a-player, grants, and membership fees. I chose this organization as part of my comparative analysis because RSF is also bay area-oriented and leads with athletic programs and college-readiness programs designed to empower student-athletes.</t>
  </si>
  <si>
    <t>Revenue (most recent 990)</t>
  </si>
  <si>
    <t>Funding sources</t>
  </si>
  <si>
    <t>Foundation support / Business &amp; Community Partners / Program sponsorships / Transportation scholarships</t>
  </si>
  <si>
    <t>Contributions, grants, gifts, gaming &amp; fundraising events, membership fees, earned revenue</t>
  </si>
  <si>
    <t>Community and Foundation, gifts, grants, membership fees</t>
  </si>
  <si>
    <t>Corporate partnerships</t>
  </si>
  <si>
    <t>Pacific Valley Bank / Santa Cruz County Bank / Santa Cruz Warriors / Kaiser Permanente / New Leaf Community Market / Swift Consulting Services</t>
  </si>
  <si>
    <t>Topgolf Callaway Brans, AWS, Mayo Clinic</t>
  </si>
  <si>
    <t>YOURS IN SOCCER Foundation, Marin Community Foundation, Canal Alliance, Houston Dynamo FC Charities, Coastal Community Foundation of South Carolina, Prestige Prep, College Career &amp; Life</t>
  </si>
  <si>
    <t>Digital presence (last 3–6 months, 2–3 platforms)</t>
  </si>
  <si>
    <r>
      <rPr>
        <rFont val="Arial"/>
        <b/>
        <color theme="1"/>
      </rPr>
      <t>Instagram Activity</t>
    </r>
    <r>
      <rPr>
        <rFont val="Arial"/>
        <color theme="1"/>
      </rPr>
      <t xml:space="preserve">: Instagram appears to be the clearest public-facing channel, with posts visible in November 2025, December 2025, and June 2026, which suggests at least a steady cadence rather than long gaps. The content tone is mission-driven and youth-centered, emphasizing belonging, support, and Club impact rather than hard promotional messaging.The visible posts lean toward broad awareness and celebration rather than detailed fundraising appeals, donor spotlights, or scholarship-heavy messaging. A June 2026 post promotes National Boys &amp; Girls Club Week with “specialized activities, programs, and fun,” which suggests the account is used to highlight seasonal programming and community engagement. </t>
    </r>
    <r>
      <rPr>
        <rFont val="Arial"/>
        <b/>
        <color theme="1"/>
      </rPr>
      <t xml:space="preserve">LinkedIn Activity: </t>
    </r>
    <r>
      <rPr>
        <rFont val="Arial"/>
        <color theme="1"/>
      </rPr>
      <t>LinkedIn looks quieter and more institutional than Instagram, with a company page present and additional visibility coming through staff and board-related posts rather than frequent organization-owned updates. The available LinkedIn evidence points to partnerships, leadership, careers, and board recognition more than youth-program storytelling. That kind of presence usually suggests LinkedIn is being used for credibility, hiring, and network-building, not as the primary community-engagement channel. A quieter LinkedIn profile is not necessarily a weakness; for a youth-serving nonprofit, it can simply mean the organization prioritizes parent/community channels and direct program communication elsewhere.</t>
    </r>
  </si>
  <si>
    <r>
      <rPr>
        <rFont val="Arial"/>
        <b/>
        <color theme="1"/>
      </rPr>
      <t xml:space="preserve">Instagram: </t>
    </r>
    <r>
      <rPr>
        <rFont val="Arial"/>
        <color theme="1"/>
      </rPr>
      <t xml:space="preserve">The First Tee of Los Angeles Instagram profile is clearly active and positioned around “events, classes &amp; camps,” with 127 posts and a modest follower base visible on the profile page. Recent visible content from the broader First Tee ecosystem suggests the kind of Instagram posts that resonate for this brand: event promotion, youth experiences, and partnership-driven content, such as charity golf outings and skills camps. That mix suggests Instagram is being used as a community-building and recruitment channel more than a polished brand newsroom, which is normal for a local nonprofit chapter. Engagement appears uneven rather than uniformly high which is normal. </t>
    </r>
    <r>
      <rPr>
        <rFont val="Arial"/>
        <b/>
        <color theme="1"/>
      </rPr>
      <t xml:space="preserve">LinkedIn: </t>
    </r>
    <r>
      <rPr>
        <rFont val="Arial"/>
        <color theme="1"/>
      </rPr>
      <t xml:space="preserve">Appears to be primarily the main First Tee organization’s page rather than a Los Angeles chapter-specific channel, so it reads more like a national brand presence than a local fundraising or youth-program feed.   </t>
    </r>
    <r>
      <rPr>
        <rFont val="Arial"/>
        <b/>
        <color theme="1"/>
      </rPr>
      <t xml:space="preserve">Facebook: </t>
    </r>
    <r>
      <rPr>
        <rFont val="Arial"/>
        <color theme="1"/>
      </rPr>
      <t>Shows at least some recent activity tied to First Tee Week and coach recognition, plus partner-driven video content, which suggests the platform is still used for community and awareness content.</t>
    </r>
  </si>
  <si>
    <r>
      <rPr>
        <rFont val="Arial"/>
        <b/>
        <color theme="1"/>
      </rPr>
      <t>Instagram:</t>
    </r>
    <r>
      <rPr>
        <rFont val="Arial"/>
        <color theme="1"/>
      </rPr>
      <t xml:space="preserve"> shows an active profile with recent public activity on the account, though the search results alone do not reveal a dense posting schedule or a steady weekly cadence. </t>
    </r>
    <r>
      <rPr>
        <rFont val="Arial"/>
        <b/>
        <color theme="1"/>
      </rPr>
      <t>Facebook:</t>
    </r>
    <r>
      <rPr>
        <rFont val="Arial"/>
        <color theme="1"/>
      </rPr>
      <t xml:space="preserve"> shows recent visible activity, including a post about an upcoming final showcase, which suggests the page is used for timely program updates and event promotion. </t>
    </r>
    <r>
      <rPr>
        <rFont val="Arial"/>
        <b/>
        <color theme="1"/>
      </rPr>
      <t>LinkedIn:</t>
    </r>
    <r>
      <rPr>
        <rFont val="Arial"/>
        <color theme="1"/>
      </rPr>
      <t xml:space="preserve"> None. The content appears to center on soccer-related nonprofit programming and college-access outcomes, consistent with the organization’s stated mission of helping high school soccer players secure scholarships</t>
    </r>
  </si>
  <si>
    <t>How they describe impact</t>
  </si>
  <si>
    <t>They lead with a youth-development outcomes story: safe space, caring mentors, and programs that build character, confidence, and readiness for the future. In donor/partner-facing materials, the most specific claims are usually about what they do, while the proof is more programmatic than outcome-measurement-heavy. The 990 says the organization’s primary purpose is to promote the “physical, mental, and moral well being of youth,” and its largest program service is running the Club’s core programs. Those core programs are framed as education and career development, character and leadership development, the arts, health and life skills, and sports, fitness, and recreation. On the website, the language is similar: the Club says it supports youth with safe spaces, enriching programs, and caring adult mentors, plus help for working families and access to scholarships. So when speaking to donors or partners, they are mostly selling a clear mission + broad youth outcomes + practical community benefit rather than a highly quantified impact model.</t>
  </si>
  <si>
    <t xml:space="preserve">First Tee of Los Angeles describes its impact as helping kids “build the strength of character” so they can handle new challenges, become a better version of themselves, and develop confidence through golf-based character education. On social media, that same idea shows up as “building game changers,” with emphasis on life skills, resilience, and youth growth rather than just golf instruction. </t>
  </si>
  <si>
    <t>ACCESS U frames its impact around opening college-soccer pathways for scholar-athletes from socioeconomically challenged, Black, and Latino communities through mentorship, recruiting support, and academic guidance. On the homepage, they lead with concrete outcomes: a 100% high school graduation rate, 320+ student-athletes supported, 70+ top college programs recruiting their athletes, and more than $2 million in tuition offset through scholarships and financial aid since 2024. For partners, they seem to lead with the scale of opportunity created: a pipeline into top college programs, measurable tuition savings, and a model that combines athletic development with college access. Their impact story is strongest where it combines both hard numbers and human opportunity, especially for underrepresented girls and boys in soccer.</t>
  </si>
  <si>
    <t>AI/tech use (if found)</t>
  </si>
  <si>
    <t>None</t>
  </si>
  <si>
    <t xml:space="preserve">Evidence of technology integration in the broader First Tee organization, but not within the Los Angeles chapter. They focus on an app, digital bades, online/offline access, virtual coaching, and tech-enabled program delivery. The First Tee app is described as supplemental content with games and challenges for youth across Apple/Android devices, tablets and browsers. They emphasize that technology is used to "build character on and off the course," amd frames it as an enhancement for in-person experiences rather than a replacement. </t>
  </si>
  <si>
    <t>None.</t>
  </si>
  <si>
    <t>Key observation</t>
  </si>
  <si>
    <t xml:space="preserve">This organization receives funding from various partners and communities to support youth through enriching programs from sports to academics across elementary to high school students. </t>
  </si>
  <si>
    <t xml:space="preserve">This organization is program-oriented rather than tech-oriented although their broader First Tee organization integrates technology as supplemental materials for golf simulators, virtual coaching, and quick information. According to Candid, the Los Angeles chapter's last 990 was in 2020 and has had considerable cuts in revenue since 2016 where they made $932,521. </t>
  </si>
  <si>
    <t>ACCESS U’s counseling appears to be more college-access counseling than a standard recruiting service. Instead of focusing mainly on placing athletes with the “best” or most visible programs, they emphasize helping students find a best-fit college that works academically, athletically, personally, and financially.</t>
  </si>
  <si>
    <t>What RSF could learn</t>
  </si>
  <si>
    <t>Diversifying Corporate Partnerships: BGCSCC successfully partners with a wide variety of local businesses outside of just sports, including banks, healthcare providers (Kaiser Permanente), and local markets. RSF could broaden its outreach to similar community-focused businesses in the Bay Area. elling the Broad Vision: When communicating impact, BGCSCC successfully sells the "big picture" (safe spaces, caring mentors, character development) to secure large funding ($2.5M+ revenue), showing that emotional and community resonance is just as important as hard data.</t>
  </si>
  <si>
    <t>Integrating Technology: While the local chapter is program-oriented, their broader national organization uses apps, digital badges, and virtual coaching to supplement in-person training. RSF could explore accessible digital tools or apps to keep student-athletes engaged in character and leadership development off the field. Revenue Resilience: First Tee saw a significant drop in revenue from 2016 to 2020. This serves as a lesson for RSF on the importance of maintaining diversified, recurring funding sources rather than relying too heavily on specific events or fluctuating membership fees.</t>
  </si>
  <si>
    <t>Highly Quantifiable Impact Story: Because ACCESS U operates in the same region (Bay Area) and shares a similar college-readiness mission, their impact model is highly relevant. RSF should emulate how they lead with hard numbers—such as high school graduation rates, number of athletes supported, and exact tuition dollars saved. "Support-a-Player" Funding Model: ACCESS U utilizes a tiered system designed to support individual players. RSF could implement a similar direct-sponsorship model, which gives donors a tangible, personal connection to the success of specific student-athletes.</t>
  </si>
  <si>
    <t>Competitive Positioning Dashboard</t>
  </si>
  <si>
    <t>Funding Sources</t>
  </si>
  <si>
    <t>Strategic Takeaways: What RSF Could Learn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</si>
</sst>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9">
    <font>
      <sz val="10.0"/>
      <color rgb="FF000000"/>
      <name val="Arial"/>
      <scheme val="minor"/>
    </font>
    <font>
      <b/>
      <color theme="1"/>
      <name val="Arial"/>
      <scheme val="minor"/>
    </font>
    <font>
      <color theme="1"/>
      <name val="Arial"/>
      <scheme val="minor"/>
    </font>
    <font>
      <u/>
      <color rgb="FF0000FF"/>
    </font>
    <font>
      <sz val="10.0"/>
      <color rgb="FF191C20"/>
      <name val="Roboto"/>
    </font>
    <font>
      <b/>
      <sz val="24.0"/>
      <color rgb="FF214776"/>
      <name val="Montserrat"/>
    </font>
    <font>
      <b/>
      <sz val="12.0"/>
      <color rgb="FF214776"/>
      <name val="Montserrat"/>
    </font>
    <font/>
    <font>
      <sz val="10.0"/>
      <color rgb="FF181C1F"/>
      <name val="Roboto"/>
    </font>
  </fonts>
  <fills count="5">
    <fill>
      <patternFill patternType="none"/>
    </fill>
    <fill>
      <patternFill patternType="lightGray"/>
    </fill>
    <fill>
      <patternFill patternType="solid">
        <fgColor rgb="FFF9F9FF"/>
        <bgColor rgb="FFF9F9FF"/>
      </patternFill>
    </fill>
    <fill>
      <patternFill patternType="solid">
        <fgColor rgb="FFD3E2FF"/>
        <bgColor rgb="FFD3E2FF"/>
      </patternFill>
    </fill>
    <fill>
      <patternFill patternType="solid">
        <fgColor rgb="FFFFFFFF"/>
        <bgColor rgb="FFFFFFFF"/>
      </patternFill>
    </fill>
  </fills>
  <borders count="18">
    <border/>
    <border>
      <left style="thin">
        <color rgb="FF3B5F90"/>
      </left>
      <top style="thin">
        <color rgb="FF3B5F90"/>
      </top>
      <bottom style="thin">
        <color rgb="FFE4E4E4"/>
      </bottom>
    </border>
    <border>
      <top style="thin">
        <color rgb="FF3B5F90"/>
      </top>
      <bottom style="thin">
        <color rgb="FFE4E4E4"/>
      </bottom>
    </border>
    <border>
      <right style="thin">
        <color rgb="FF3B5F90"/>
      </right>
      <top style="thin">
        <color rgb="FF3B5F90"/>
      </top>
      <bottom style="thin">
        <color rgb="FFE4E4E4"/>
      </bottom>
    </border>
    <border>
      <left style="thin">
        <color rgb="FF3B5F90"/>
      </left>
      <top style="thin">
        <color rgb="FFE4E4E4"/>
      </top>
    </border>
    <border>
      <top style="thin">
        <color rgb="FFE4E4E4"/>
      </top>
    </border>
    <border>
      <right style="thin">
        <color rgb="FFE4E4E4"/>
      </right>
      <top style="thin">
        <color rgb="FFE4E4E4"/>
      </top>
    </border>
    <border>
      <left style="thin">
        <color rgb="FFE4E4E4"/>
      </left>
      <top style="thin">
        <color rgb="FFE4E4E4"/>
      </top>
    </border>
    <border>
      <right style="thin">
        <color rgb="FF3B5F90"/>
      </right>
      <top style="thin">
        <color rgb="FFE4E4E4"/>
      </top>
    </border>
    <border>
      <left style="thin">
        <color rgb="FF3B5F90"/>
      </left>
    </border>
    <border>
      <right style="thin">
        <color rgb="FFE4E4E4"/>
      </right>
    </border>
    <border>
      <left style="thin">
        <color rgb="FFE4E4E4"/>
      </left>
    </border>
    <border>
      <right style="thin">
        <color rgb="FF3B5F90"/>
      </right>
    </border>
    <border>
      <left style="thin">
        <color rgb="FF3B5F90"/>
      </left>
      <bottom style="thin">
        <color rgb="FF3B5F90"/>
      </bottom>
    </border>
    <border>
      <bottom style="thin">
        <color rgb="FF3B5F90"/>
      </bottom>
    </border>
    <border>
      <right style="thin">
        <color rgb="FFE4E4E4"/>
      </right>
      <bottom style="thin">
        <color rgb="FF3B5F90"/>
      </bottom>
    </border>
    <border>
      <left style="thin">
        <color rgb="FFE4E4E4"/>
      </left>
      <bottom style="thin">
        <color rgb="FF3B5F90"/>
      </bottom>
    </border>
    <border>
      <right style="thin">
        <color rgb="FF3B5F90"/>
      </right>
      <bottom style="thin">
        <color rgb="FF3B5F9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2" fontId="4" numFmtId="0" xfId="0" applyFill="1" applyFont="1"/>
    <xf borderId="0" fillId="2" fontId="5" numFmtId="0" xfId="0" applyAlignment="1" applyFont="1">
      <alignment horizontal="center" vertical="center"/>
    </xf>
    <xf borderId="1" fillId="3" fontId="6" numFmtId="0" xfId="0" applyAlignment="1" applyBorder="1" applyFill="1" applyFont="1">
      <alignment horizontal="center" vertical="center"/>
    </xf>
    <xf borderId="2" fillId="0" fontId="7" numFmtId="0" xfId="0" applyBorder="1" applyFont="1"/>
    <xf borderId="3" fillId="0" fontId="7" numFmtId="0" xfId="0" applyBorder="1" applyFont="1"/>
    <xf borderId="4" fillId="4" fontId="8" numFmtId="0" xfId="0" applyAlignment="1" applyBorder="1" applyFill="1" applyFont="1">
      <alignment horizontal="left" shrinkToFit="0" vertical="top" wrapText="1"/>
    </xf>
    <xf borderId="5" fillId="0" fontId="7" numFmtId="0" xfId="0" applyBorder="1" applyFont="1"/>
    <xf borderId="6" fillId="0" fontId="7" numFmtId="0" xfId="0" applyBorder="1" applyFont="1"/>
    <xf borderId="7" fillId="4" fontId="8" numFmtId="0" xfId="0" applyAlignment="1" applyBorder="1" applyFont="1">
      <alignment horizontal="left" shrinkToFit="0" vertical="top" wrapText="1"/>
    </xf>
    <xf borderId="8" fillId="0" fontId="7" numFmtId="0" xfId="0" applyBorder="1" applyFont="1"/>
    <xf borderId="9" fillId="0" fontId="7" numFmtId="0" xfId="0" applyBorder="1" applyFont="1"/>
    <xf borderId="10" fillId="0" fontId="7" numFmtId="0" xfId="0" applyBorder="1" applyFont="1"/>
    <xf borderId="11" fillId="0" fontId="7" numFmtId="0" xfId="0" applyBorder="1" applyFont="1"/>
    <xf borderId="12" fillId="0" fontId="7" numFmtId="0" xfId="0" applyBorder="1" applyFont="1"/>
    <xf borderId="13" fillId="0" fontId="7" numFmtId="0" xfId="0" applyBorder="1" applyFont="1"/>
    <xf borderId="14" fillId="0" fontId="7" numFmtId="0" xfId="0" applyBorder="1" applyFont="1"/>
    <xf borderId="15" fillId="0" fontId="7" numFmtId="0" xfId="0" applyBorder="1" applyFont="1"/>
    <xf borderId="16" fillId="0" fontId="7" numFmtId="0" xfId="0" applyBorder="1" applyFont="1"/>
    <xf borderId="17"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4667250" cy="1000125"/>
    <xdr:pic>
      <xdr:nvPicPr>
        <xdr:cNvPr id="603836682" name="Chart1" title="Boys and Girls Club of Santa Cruz">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xdr:row>
      <xdr:rowOff>0</xdr:rowOff>
    </xdr:from>
    <xdr:ext cx="4667250" cy="1000125"/>
    <xdr:pic>
      <xdr:nvPicPr>
        <xdr:cNvPr id="2108790549" name="Chart2" title="ACCESS U Foundation">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3</xdr:row>
      <xdr:rowOff>0</xdr:rowOff>
    </xdr:from>
    <xdr:ext cx="3714750" cy="1000125"/>
    <xdr:pic>
      <xdr:nvPicPr>
        <xdr:cNvPr id="1709734362" name="Chart3" title="First Tee of Los Angeles">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oysandgirlsclub.info/" TargetMode="External"/><Relationship Id="rId2" Type="http://schemas.openxmlformats.org/officeDocument/2006/relationships/hyperlink" Target="https://firstteelosangeles.org/" TargetMode="External"/><Relationship Id="rId3" Type="http://schemas.openxmlformats.org/officeDocument/2006/relationships/hyperlink" Target="https://www.accessufoundation.or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13"/>
  </cols>
  <sheetData>
    <row r="1">
      <c r="A1" s="1" t="s">
        <v>0</v>
      </c>
      <c r="B1" s="1" t="s">
        <v>1</v>
      </c>
      <c r="C1" s="1" t="s">
        <v>2</v>
      </c>
      <c r="D1" s="1" t="s">
        <v>3</v>
      </c>
    </row>
    <row r="2">
      <c r="A2" s="2" t="s">
        <v>4</v>
      </c>
      <c r="B2" s="3" t="s">
        <v>5</v>
      </c>
      <c r="C2" s="3" t="s">
        <v>6</v>
      </c>
      <c r="D2" s="3" t="s">
        <v>7</v>
      </c>
      <c r="E2" s="2" t="s">
        <v>8</v>
      </c>
    </row>
    <row r="3">
      <c r="A3" s="2" t="s">
        <v>9</v>
      </c>
      <c r="B3" s="2" t="s">
        <v>10</v>
      </c>
      <c r="C3" s="2" t="s">
        <v>11</v>
      </c>
      <c r="D3" s="2" t="s">
        <v>12</v>
      </c>
      <c r="E3" s="2" t="s">
        <v>8</v>
      </c>
    </row>
    <row r="4">
      <c r="A4" s="2" t="s">
        <v>13</v>
      </c>
      <c r="B4" s="4">
        <v>2583355.0</v>
      </c>
      <c r="C4" s="4">
        <v>153955.0</v>
      </c>
      <c r="D4" s="4">
        <v>367771.0</v>
      </c>
    </row>
    <row r="5">
      <c r="A5" s="2" t="s">
        <v>14</v>
      </c>
      <c r="B5" s="2" t="s">
        <v>15</v>
      </c>
      <c r="C5" s="2" t="s">
        <v>16</v>
      </c>
      <c r="D5" s="2" t="s">
        <v>17</v>
      </c>
      <c r="E5" s="2" t="s">
        <v>8</v>
      </c>
    </row>
    <row r="6">
      <c r="A6" s="2" t="s">
        <v>18</v>
      </c>
      <c r="B6" s="2" t="s">
        <v>19</v>
      </c>
      <c r="C6" s="2" t="s">
        <v>20</v>
      </c>
      <c r="D6" s="2" t="s">
        <v>21</v>
      </c>
      <c r="E6" s="2" t="s">
        <v>8</v>
      </c>
    </row>
    <row r="7">
      <c r="A7" s="2" t="s">
        <v>22</v>
      </c>
      <c r="B7" s="2" t="s">
        <v>23</v>
      </c>
      <c r="C7" s="2" t="s">
        <v>24</v>
      </c>
      <c r="D7" s="2" t="s">
        <v>25</v>
      </c>
      <c r="E7" s="2" t="s">
        <v>8</v>
      </c>
    </row>
    <row r="8">
      <c r="A8" s="2" t="s">
        <v>26</v>
      </c>
      <c r="B8" s="2" t="s">
        <v>27</v>
      </c>
      <c r="C8" s="2" t="s">
        <v>28</v>
      </c>
      <c r="D8" s="2" t="s">
        <v>29</v>
      </c>
      <c r="E8" s="2" t="s">
        <v>8</v>
      </c>
    </row>
    <row r="9">
      <c r="A9" s="2" t="s">
        <v>30</v>
      </c>
      <c r="B9" s="2" t="s">
        <v>31</v>
      </c>
      <c r="C9" s="2" t="s">
        <v>32</v>
      </c>
      <c r="D9" s="2" t="s">
        <v>33</v>
      </c>
      <c r="E9" s="2" t="s">
        <v>8</v>
      </c>
    </row>
    <row r="10">
      <c r="A10" s="2" t="s">
        <v>34</v>
      </c>
      <c r="B10" s="2" t="s">
        <v>35</v>
      </c>
      <c r="C10" s="2" t="s">
        <v>36</v>
      </c>
      <c r="D10" s="2" t="s">
        <v>37</v>
      </c>
      <c r="E10" s="2" t="s">
        <v>8</v>
      </c>
    </row>
    <row r="11">
      <c r="A11" s="2" t="s">
        <v>38</v>
      </c>
      <c r="B11" s="2" t="s">
        <v>39</v>
      </c>
      <c r="C11" s="2" t="s">
        <v>40</v>
      </c>
      <c r="D11" s="2" t="s">
        <v>41</v>
      </c>
      <c r="E11" s="2" t="s">
        <v>8</v>
      </c>
    </row>
  </sheetData>
  <hyperlinks>
    <hyperlink r:id="rId1" ref="B2"/>
    <hyperlink r:id="rId2" ref="C2"/>
    <hyperlink r:id="rId3" ref="D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15" width="12.63"/>
  </cols>
  <sheetData>
    <row r="1">
      <c r="A1" s="5"/>
      <c r="B1" s="5"/>
      <c r="C1" s="5"/>
      <c r="D1" s="5"/>
      <c r="E1" s="5"/>
      <c r="F1" s="5"/>
      <c r="G1" s="5"/>
      <c r="H1" s="5"/>
      <c r="I1" s="5"/>
      <c r="J1" s="5"/>
      <c r="K1" s="5"/>
      <c r="L1" s="5"/>
      <c r="M1" s="5"/>
      <c r="N1" s="5"/>
      <c r="O1" s="5"/>
      <c r="P1" s="5"/>
      <c r="Q1" s="5"/>
      <c r="R1" s="5"/>
      <c r="S1" s="5"/>
      <c r="T1" s="5"/>
      <c r="U1" s="5"/>
      <c r="V1" s="5"/>
      <c r="W1" s="5"/>
      <c r="X1" s="5"/>
      <c r="Y1" s="5"/>
      <c r="Z1" s="5"/>
    </row>
    <row r="2">
      <c r="A2" s="5"/>
      <c r="B2" s="6" t="s">
        <v>42</v>
      </c>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7" t="s">
        <v>43</v>
      </c>
      <c r="C10" s="8"/>
      <c r="D10" s="8"/>
      <c r="E10" s="8"/>
      <c r="F10" s="8"/>
      <c r="G10" s="8"/>
      <c r="H10" s="8"/>
      <c r="I10" s="8"/>
      <c r="J10" s="8"/>
      <c r="K10" s="8"/>
      <c r="L10" s="8"/>
      <c r="M10" s="8"/>
      <c r="N10" s="8"/>
      <c r="O10" s="9"/>
      <c r="P10" s="5"/>
      <c r="Q10" s="5"/>
      <c r="R10" s="5"/>
      <c r="S10" s="5"/>
      <c r="T10" s="5"/>
      <c r="U10" s="5"/>
      <c r="V10" s="5"/>
      <c r="W10" s="5"/>
      <c r="X10" s="5"/>
      <c r="Y10" s="5"/>
      <c r="Z10" s="5"/>
    </row>
    <row r="11">
      <c r="A11" s="5"/>
      <c r="B11" s="10" t="str">
        <f>Sheet1!B5</f>
        <v>Foundation support / Business &amp; Community Partners / Program sponsorships / Transportation scholarships</v>
      </c>
      <c r="C11" s="11"/>
      <c r="D11" s="11"/>
      <c r="E11" s="11"/>
      <c r="F11" s="12"/>
      <c r="G11" s="13" t="str">
        <f>Sheet1!D5</f>
        <v>Community and Foundation, gifts, grants, membership fees</v>
      </c>
      <c r="H11" s="11"/>
      <c r="I11" s="11"/>
      <c r="J11" s="11"/>
      <c r="K11" s="12"/>
      <c r="L11" s="13" t="str">
        <f>Sheet1!C5</f>
        <v>Contributions, grants, gifts, gaming &amp; fundraising events, membership fees, earned revenue</v>
      </c>
      <c r="M11" s="11"/>
      <c r="N11" s="11"/>
      <c r="O11" s="14"/>
      <c r="P11" s="5"/>
      <c r="Q11" s="5"/>
      <c r="R11" s="5"/>
      <c r="S11" s="5"/>
      <c r="T11" s="5"/>
      <c r="U11" s="5"/>
      <c r="V11" s="5"/>
      <c r="W11" s="5"/>
      <c r="X11" s="5"/>
      <c r="Y11" s="5"/>
      <c r="Z11" s="5"/>
    </row>
    <row r="12">
      <c r="A12" s="5"/>
      <c r="B12" s="15"/>
      <c r="F12" s="16"/>
      <c r="G12" s="17"/>
      <c r="K12" s="16"/>
      <c r="L12" s="17"/>
      <c r="O12" s="18"/>
      <c r="P12" s="5"/>
      <c r="Q12" s="5"/>
      <c r="R12" s="5"/>
      <c r="S12" s="5"/>
      <c r="T12" s="5"/>
      <c r="U12" s="5"/>
      <c r="V12" s="5"/>
      <c r="W12" s="5"/>
      <c r="X12" s="5"/>
      <c r="Y12" s="5"/>
      <c r="Z12" s="5"/>
    </row>
    <row r="13">
      <c r="A13" s="5"/>
      <c r="B13" s="15"/>
      <c r="F13" s="16"/>
      <c r="G13" s="17"/>
      <c r="K13" s="16"/>
      <c r="L13" s="17"/>
      <c r="O13" s="18"/>
      <c r="P13" s="5"/>
      <c r="Q13" s="5"/>
      <c r="R13" s="5"/>
      <c r="S13" s="5"/>
      <c r="T13" s="5"/>
      <c r="U13" s="5"/>
      <c r="V13" s="5"/>
      <c r="W13" s="5"/>
      <c r="X13" s="5"/>
      <c r="Y13" s="5"/>
      <c r="Z13" s="5"/>
    </row>
    <row r="14">
      <c r="A14" s="5"/>
      <c r="B14" s="15"/>
      <c r="F14" s="16"/>
      <c r="G14" s="17"/>
      <c r="K14" s="16"/>
      <c r="L14" s="17"/>
      <c r="O14" s="18"/>
      <c r="P14" s="5"/>
      <c r="Q14" s="5"/>
      <c r="R14" s="5"/>
      <c r="S14" s="5"/>
      <c r="T14" s="5"/>
      <c r="U14" s="5"/>
      <c r="V14" s="5"/>
      <c r="W14" s="5"/>
      <c r="X14" s="5"/>
      <c r="Y14" s="5"/>
      <c r="Z14" s="5"/>
    </row>
    <row r="15">
      <c r="A15" s="5"/>
      <c r="B15" s="19"/>
      <c r="C15" s="20"/>
      <c r="D15" s="20"/>
      <c r="E15" s="20"/>
      <c r="F15" s="21"/>
      <c r="G15" s="22"/>
      <c r="H15" s="20"/>
      <c r="I15" s="20"/>
      <c r="J15" s="20"/>
      <c r="K15" s="21"/>
      <c r="L15" s="22"/>
      <c r="M15" s="20"/>
      <c r="N15" s="20"/>
      <c r="O15" s="23"/>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7" t="s">
        <v>44</v>
      </c>
      <c r="C17" s="8"/>
      <c r="D17" s="8"/>
      <c r="E17" s="8"/>
      <c r="F17" s="8"/>
      <c r="G17" s="8"/>
      <c r="H17" s="8"/>
      <c r="I17" s="8"/>
      <c r="J17" s="8"/>
      <c r="K17" s="8"/>
      <c r="L17" s="8"/>
      <c r="M17" s="8"/>
      <c r="N17" s="8"/>
      <c r="O17" s="9"/>
      <c r="P17" s="5"/>
      <c r="Q17" s="5"/>
      <c r="R17" s="5"/>
      <c r="S17" s="5"/>
      <c r="T17" s="5"/>
      <c r="U17" s="5"/>
      <c r="V17" s="5"/>
      <c r="W17" s="5"/>
      <c r="X17" s="5"/>
      <c r="Y17" s="5"/>
      <c r="Z17" s="5"/>
    </row>
    <row r="18">
      <c r="A18" s="5"/>
      <c r="B18" s="10" t="str">
        <f>Sheet1!B11</f>
        <v>Diversifying Corporate Partnerships: BGCSCC successfully partners with a wide variety of local businesses outside of just sports, including banks, healthcare providers (Kaiser Permanente), and local markets. RSF could broaden its outreach to similar community-focused businesses in the Bay Area. elling the Broad Vision: When communicating impact, BGCSCC successfully sells the "big picture" (safe spaces, caring mentors, character development) to secure large funding ($2.5M+ revenue), showing that emotional and community resonance is just as important as hard data.</v>
      </c>
      <c r="C18" s="11"/>
      <c r="D18" s="11"/>
      <c r="E18" s="11"/>
      <c r="F18" s="12"/>
      <c r="G18" s="13" t="str">
        <f>Sheet1!D11</f>
        <v>Highly Quantifiable Impact Story: Because ACCESS U operates in the same region (Bay Area) and shares a similar college-readiness mission, their impact model is highly relevant. RSF should emulate how they lead with hard numbers—such as high school graduation rates, number of athletes supported, and exact tuition dollars saved. "Support-a-Player" Funding Model: ACCESS U utilizes a tiered system designed to support individual players. RSF could implement a similar direct-sponsorship model, which gives donors a tangible, personal connection to the success of specific student-athletes.</v>
      </c>
      <c r="H18" s="11"/>
      <c r="I18" s="11"/>
      <c r="J18" s="11"/>
      <c r="K18" s="12"/>
      <c r="L18" s="13" t="str">
        <f>Sheet1!C11</f>
        <v>Integrating Technology: While the local chapter is program-oriented, their broader national organization uses apps, digital badges, and virtual coaching to supplement in-person training. RSF could explore accessible digital tools or apps to keep student-athletes engaged in character and leadership development off the field. Revenue Resilience: First Tee saw a significant drop in revenue from 2016 to 2020. This serves as a lesson for RSF on the importance of maintaining diversified, recurring funding sources rather than relying too heavily on specific events or fluctuating membership fees.</v>
      </c>
      <c r="M18" s="11"/>
      <c r="N18" s="11"/>
      <c r="O18" s="14"/>
      <c r="P18" s="5"/>
      <c r="Q18" s="5"/>
      <c r="R18" s="5"/>
      <c r="S18" s="5"/>
      <c r="T18" s="5"/>
      <c r="U18" s="5"/>
      <c r="V18" s="5"/>
      <c r="W18" s="5"/>
      <c r="X18" s="5"/>
      <c r="Y18" s="5"/>
      <c r="Z18" s="5"/>
    </row>
    <row r="19">
      <c r="A19" s="5"/>
      <c r="B19" s="15"/>
      <c r="F19" s="16"/>
      <c r="G19" s="17"/>
      <c r="K19" s="16"/>
      <c r="L19" s="17"/>
      <c r="O19" s="18"/>
      <c r="P19" s="5"/>
      <c r="Q19" s="5"/>
      <c r="R19" s="5"/>
      <c r="S19" s="5"/>
      <c r="T19" s="5"/>
      <c r="U19" s="5"/>
      <c r="V19" s="5"/>
      <c r="W19" s="5"/>
      <c r="X19" s="5"/>
      <c r="Y19" s="5"/>
      <c r="Z19" s="5"/>
    </row>
    <row r="20">
      <c r="A20" s="5"/>
      <c r="B20" s="15"/>
      <c r="F20" s="16"/>
      <c r="G20" s="17"/>
      <c r="K20" s="16"/>
      <c r="L20" s="17"/>
      <c r="O20" s="18"/>
      <c r="P20" s="5"/>
      <c r="Q20" s="5"/>
      <c r="R20" s="5"/>
      <c r="S20" s="5"/>
      <c r="T20" s="5"/>
      <c r="U20" s="5"/>
      <c r="V20" s="5"/>
      <c r="W20" s="5"/>
      <c r="X20" s="5"/>
      <c r="Y20" s="5"/>
      <c r="Z20" s="5"/>
    </row>
    <row r="21">
      <c r="A21" s="5"/>
      <c r="B21" s="15"/>
      <c r="F21" s="16"/>
      <c r="G21" s="17"/>
      <c r="K21" s="16"/>
      <c r="L21" s="17"/>
      <c r="O21" s="18"/>
      <c r="P21" s="5"/>
      <c r="Q21" s="5"/>
      <c r="R21" s="5"/>
      <c r="S21" s="5"/>
      <c r="T21" s="5"/>
      <c r="U21" s="5"/>
      <c r="V21" s="5"/>
      <c r="W21" s="5"/>
      <c r="X21" s="5"/>
      <c r="Y21" s="5"/>
      <c r="Z21" s="5"/>
    </row>
    <row r="22">
      <c r="A22" s="5"/>
      <c r="B22" s="15"/>
      <c r="F22" s="16"/>
      <c r="G22" s="17"/>
      <c r="K22" s="16"/>
      <c r="L22" s="17"/>
      <c r="O22" s="18"/>
      <c r="P22" s="5"/>
      <c r="Q22" s="5"/>
      <c r="R22" s="5"/>
      <c r="S22" s="5"/>
      <c r="T22" s="5"/>
      <c r="U22" s="5"/>
      <c r="V22" s="5"/>
      <c r="W22" s="5"/>
      <c r="X22" s="5"/>
      <c r="Y22" s="5"/>
      <c r="Z22" s="5"/>
    </row>
    <row r="23">
      <c r="A23" s="5"/>
      <c r="B23" s="15"/>
      <c r="F23" s="16"/>
      <c r="G23" s="17"/>
      <c r="K23" s="16"/>
      <c r="L23" s="17"/>
      <c r="O23" s="18"/>
      <c r="P23" s="5"/>
      <c r="Q23" s="5"/>
      <c r="R23" s="5"/>
      <c r="S23" s="5"/>
      <c r="T23" s="5"/>
      <c r="U23" s="5"/>
      <c r="V23" s="5"/>
      <c r="W23" s="5"/>
      <c r="X23" s="5"/>
      <c r="Y23" s="5"/>
      <c r="Z23" s="5"/>
    </row>
    <row r="24">
      <c r="A24" s="5"/>
      <c r="B24" s="15"/>
      <c r="F24" s="16"/>
      <c r="G24" s="17"/>
      <c r="K24" s="16"/>
      <c r="L24" s="17"/>
      <c r="O24" s="18"/>
      <c r="P24" s="5"/>
      <c r="Q24" s="5"/>
      <c r="R24" s="5"/>
      <c r="S24" s="5"/>
      <c r="T24" s="5"/>
      <c r="U24" s="5"/>
      <c r="V24" s="5"/>
      <c r="W24" s="5"/>
      <c r="X24" s="5"/>
      <c r="Y24" s="5"/>
      <c r="Z24" s="5"/>
    </row>
    <row r="25">
      <c r="A25" s="5"/>
      <c r="B25" s="19"/>
      <c r="C25" s="20"/>
      <c r="D25" s="20"/>
      <c r="E25" s="20"/>
      <c r="F25" s="21"/>
      <c r="G25" s="22"/>
      <c r="H25" s="20"/>
      <c r="I25" s="20"/>
      <c r="J25" s="20"/>
      <c r="K25" s="21"/>
      <c r="L25" s="22"/>
      <c r="M25" s="20"/>
      <c r="N25" s="20"/>
      <c r="O25" s="23"/>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sheetData>
  <mergeCells count="9">
    <mergeCell ref="G18:K25"/>
    <mergeCell ref="L18:O25"/>
    <mergeCell ref="B2:O2"/>
    <mergeCell ref="B10:O10"/>
    <mergeCell ref="B11:F15"/>
    <mergeCell ref="G11:K15"/>
    <mergeCell ref="L11:O15"/>
    <mergeCell ref="B17:O17"/>
    <mergeCell ref="B18:F25"/>
  </mergeCells>
  <drawing r:id="rId1"/>
</worksheet>
</file>